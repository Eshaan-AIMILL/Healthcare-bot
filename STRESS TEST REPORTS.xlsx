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haan Mishra\OneDrive\Desktop\AI MILL\Healthcare_bot(1)\Healthcare-bot\"/>
    </mc:Choice>
  </mc:AlternateContent>
  <xr:revisionPtr revIDLastSave="0" documentId="8_{26A96A49-86A9-45AB-B9C6-33026619554F}" xr6:coauthVersionLast="47" xr6:coauthVersionMax="47" xr10:uidLastSave="{00000000-0000-0000-0000-000000000000}"/>
  <bookViews>
    <workbookView xWindow="-108" yWindow="-108" windowWidth="23256" windowHeight="13176" xr2:uid="{7EBB1E1F-8899-43AD-B09E-AEE78A823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14" i="1"/>
  <c r="G15" i="1"/>
  <c r="G16" i="1"/>
  <c r="G18" i="1"/>
  <c r="G19" i="1"/>
  <c r="G20" i="1"/>
  <c r="G21" i="1"/>
  <c r="G22" i="1"/>
  <c r="G24" i="1"/>
  <c r="G25" i="1"/>
  <c r="G26" i="1"/>
  <c r="F21" i="1"/>
  <c r="F23" i="1"/>
  <c r="G23" i="1" s="1"/>
  <c r="F24" i="1"/>
  <c r="F25" i="1"/>
  <c r="F26" i="1"/>
  <c r="F20" i="1"/>
  <c r="F19" i="1"/>
  <c r="F18" i="1"/>
  <c r="F5" i="1"/>
  <c r="F8" i="1"/>
  <c r="G8" i="1" s="1"/>
  <c r="F9" i="1"/>
  <c r="G9" i="1" s="1"/>
  <c r="F10" i="1"/>
  <c r="G10" i="1" s="1"/>
  <c r="F11" i="1"/>
  <c r="G11" i="1" s="1"/>
  <c r="F13" i="1"/>
  <c r="G13" i="1" s="1"/>
  <c r="F7" i="1"/>
  <c r="G7" i="1" s="1"/>
  <c r="F12" i="1"/>
  <c r="G12" i="1" s="1"/>
  <c r="F17" i="1"/>
  <c r="G17" i="1" s="1"/>
  <c r="F22" i="1"/>
  <c r="F4" i="1"/>
  <c r="G4" i="1" s="1"/>
  <c r="F2" i="1"/>
  <c r="F3" i="1" s="1"/>
  <c r="F1048576" i="1" s="1"/>
  <c r="G3" i="1" l="1"/>
  <c r="G2" i="1"/>
</calcChain>
</file>

<file path=xl/sharedStrings.xml><?xml version="1.0" encoding="utf-8"?>
<sst xmlns="http://schemas.openxmlformats.org/spreadsheetml/2006/main" count="37" uniqueCount="37">
  <si>
    <t>Question</t>
  </si>
  <si>
    <t>Agent</t>
  </si>
  <si>
    <t>Total Score</t>
  </si>
  <si>
    <t>Which insurance company has the highest count of rejected claims right now, and what is our total financial loss from those rejections compared to approved claims?</t>
  </si>
  <si>
    <t>Billing</t>
  </si>
  <si>
    <t>What is the severity breakdown of compliance violations across different departments, and which department is currently exhibiting the highest volume of Critical JCI audit findings?</t>
  </si>
  <si>
    <t>Which high-value oncology drug batches are expiring in the next 30 days, and what is our total replacement cost exposure if we don't consume them in time?</t>
  </si>
  <si>
    <t>Cross: Patient, Compliance</t>
  </si>
  <si>
    <t>Pharmacy</t>
  </si>
  <si>
    <t>Which clinical departments are exhibiting the worst SLA wait time breach rates for VIP and Premium tier patients, and how many of those breaches resulted in formal patient complaints?</t>
  </si>
  <si>
    <t>Are there any delayed emergency delivery records where the SLA window was breached by more than 30 minutes, and what specific vehicles and routes were involved?</t>
  </si>
  <si>
    <t>Dispatch</t>
  </si>
  <si>
    <t>Patient Support</t>
  </si>
  <si>
    <t>Which ICD-10 diagnosis codes have a claim rejection rate higher than 12% where the total rejected claim amount exceeds ₹1,00,000, and what are the most common coding error types driving these rejections?</t>
  </si>
  <si>
    <t>Analyze our billing performance across all insurance providers: rank them by their average processing delay in days between the clinical encounter and claim submission, and show their overall approval-to-rejection ratio.</t>
  </si>
  <si>
    <t>Calculate the financial loss exposure from rejected claims grouped by attending physician, and show what percentage of their total billing claims contain coding errors compared to the hospital-wide average.</t>
  </si>
  <si>
    <t>Show me the top 3 insurance payers with the most rejected claims.</t>
  </si>
  <si>
    <t>How many Critical HIPAA violations are currently unresolved?</t>
  </si>
  <si>
    <t>List all compliance findings logged in the last 30 days.</t>
  </si>
  <si>
    <t>Identify systemic compliance risks: which departments have more than 3 open Critical or Major audit findings, and what is the average number of days these findings have remained unresolved?</t>
  </si>
  <si>
    <t>Which clinical staff members are associated with multiple ConsentMissing or ProtocolDeviation violations, and what is their incident-reporting compliance rate?</t>
  </si>
  <si>
    <t>Calculate the safety stock index (current stock divided by max stock level) for all Antibiotics and Cardiovascular drugs, and rank them from highest stockout risk to most overstocked.</t>
  </si>
  <si>
    <t>For all expired drugs or those expiring within 30 days, calculate the total cost exposure by drug category, showing each category's percentage contribution to our total pharmacy waste.</t>
  </si>
  <si>
    <t>Which suppliers have the highest number of inventory batches currently below their safety stock levels, and what are their respective average lead times for restocking?</t>
  </si>
  <si>
    <t>Identify critical stockout risks: list all drugs where current stock levels are below the reorder threshold, and calculate their remaining runway in days before complete depletion.</t>
  </si>
  <si>
    <t>Identify our worst-performing departments: show average patient wait times, total SLA-breached appointments, and the percentage of those breaches that resulted in Critical patient complaints.</t>
  </si>
  <si>
    <t>List all VIP patients who experienced appointment delays exceeding 45 minutes this month, and verify if they are currently marked as eligible for compensation.</t>
  </si>
  <si>
    <t>Rank our attending physicians by their appointment cancellation and no-show rates, and identify which physicians generate the highest average number of complaints</t>
  </si>
  <si>
    <t>What is the current resolution status of patient complaints eligible for compensation? Show the counts grouped by status, along with the total financial value or types of compensation offered</t>
  </si>
  <si>
    <t>Consistancy</t>
  </si>
  <si>
    <t>Accuracy</t>
  </si>
  <si>
    <t>Completeness</t>
  </si>
  <si>
    <t>How many deliveries have been made by each vehicle type?</t>
  </si>
  <si>
    <t>Show me delayed deliveries from this week and the routes they took.</t>
  </si>
  <si>
    <t>How many emergency deliveries were delayed today?</t>
  </si>
  <si>
    <t>Which vehicles are currently available for dispatch?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</si>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</sst>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2" fontId="0" fillId="0" borderId="2" xfId="0" applyNumberFormat="1" applyBorder="1"/>
    <xf numFmtId="0" fontId="0" fillId="0" borderId="2" xfId="0" applyFont="1" applyBorder="1"/>
    <xf numFmtId="0" fontId="0" fillId="0" borderId="2" xfId="0" applyFont="1" applyBorder="1" applyAlignment="1">
      <alignment wrapText="1"/>
    </xf>
    <xf numFmtId="0" fontId="0" fillId="0" borderId="2" xfId="0" applyNumberFormat="1" applyFont="1" applyBorder="1"/>
    <xf numFmtId="0" fontId="3" fillId="0" borderId="2" xfId="0" applyFont="1" applyBorder="1" applyAlignment="1">
      <alignment wrapText="1"/>
    </xf>
    <xf numFmtId="0" fontId="0" fillId="0" borderId="2" xfId="0" applyNumberFormat="1" applyBorder="1"/>
    <xf numFmtId="0" fontId="3" fillId="0" borderId="2" xfId="0" applyFont="1" applyBorder="1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2" fillId="0" borderId="0" xfId="0" applyFont="1"/>
    <xf numFmtId="0" fontId="4" fillId="0" borderId="2" xfId="0" applyFont="1" applyBorder="1" applyAlignment="1">
      <alignment wrapText="1"/>
    </xf>
  </cellXfs>
  <cellStyles count="1">
    <cellStyle name="Normal" xfId="0" builtinId="0"/>
  </cellStyles>
  <dxfs count="10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6F0930-103D-48C0-9FB5-C21E5B569E84}" name="Table2" displayName="Table2" ref="A1:G26" totalsRowShown="0" headerRowDxfId="9" headerRowBorderDxfId="8" tableBorderDxfId="7">
  <autoFilter ref="A1:G26" xr:uid="{776F0930-103D-48C0-9FB5-C21E5B569E84}"/>
  <tableColumns count="7">
    <tableColumn id="1" xr3:uid="{0C0C2209-4F6E-450A-8198-B41C43EEEE7B}" name="Agent" dataDxfId="6"/>
    <tableColumn id="2" xr3:uid="{7468E482-DC9B-4924-98E8-F3761EC139E3}" name="Question" dataDxfId="5"/>
    <tableColumn id="3" xr3:uid="{2FE86265-30A3-4908-B47C-D27BAADC06BE}" name="Consistancy" dataDxfId="4"/>
    <tableColumn id="4" xr3:uid="{D64B1DAD-25DB-4B59-A0AA-E06DDA0A0917}" name="Accuracy" dataDxfId="3"/>
    <tableColumn id="5" xr3:uid="{1495D5C3-252A-435C-9C2B-92C3F886C4A6}" name="Completeness" dataDxfId="2"/>
    <tableColumn id="6" xr3:uid="{C164E8F0-0A27-4AD2-BE85-CC4A7369B2C0}" name="Total Score" dataDxfId="1">
      <calculatedColumnFormula>SUM(Table2[[#This Row],[Consistancy]:[Completeness]])</calculatedColumnFormula>
    </tableColumn>
    <tableColumn id="7" xr3:uid="{31EDFF70-EDFB-4C9F-89F9-01FBD8EE4466}" name="Percentage" dataDxfId="0">
      <calculatedColumnFormula>(F2/30)*100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09BDB-0EC6-4F6A-BF22-0A9D8DA6271B}">
  <dimension ref="A1:G1048576"/>
  <sheetViews>
    <sheetView tabSelected="1" workbookViewId="0">
      <selection activeCell="G2" sqref="G2"/>
    </sheetView>
  </sheetViews>
  <sheetFormatPr defaultRowHeight="14.4" x14ac:dyDescent="0.3"/>
  <cols>
    <col min="1" max="1" width="28" style="16" customWidth="1"/>
    <col min="2" max="2" width="56.6640625" style="2" customWidth="1"/>
    <col min="3" max="3" width="21.5546875" customWidth="1"/>
    <col min="4" max="4" width="19.44140625" customWidth="1"/>
    <col min="5" max="5" width="19.88671875" customWidth="1"/>
    <col min="6" max="6" width="20.88671875" customWidth="1"/>
    <col min="7" max="7" width="13.44140625" customWidth="1"/>
  </cols>
  <sheetData>
    <row r="1" spans="1:7" ht="18.600000000000001" customHeight="1" x14ac:dyDescent="0.3">
      <c r="A1" s="3" t="s">
        <v>1</v>
      </c>
      <c r="B1" s="4" t="s">
        <v>0</v>
      </c>
      <c r="C1" s="3" t="s">
        <v>29</v>
      </c>
      <c r="D1" s="3" t="s">
        <v>30</v>
      </c>
      <c r="E1" s="3" t="s">
        <v>31</v>
      </c>
      <c r="F1" s="3" t="s">
        <v>2</v>
      </c>
      <c r="G1" s="1" t="s">
        <v>36</v>
      </c>
    </row>
    <row r="2" spans="1:7" ht="43.2" x14ac:dyDescent="0.3">
      <c r="A2" s="14" t="s">
        <v>4</v>
      </c>
      <c r="B2" s="6" t="s">
        <v>3</v>
      </c>
      <c r="C2" s="7">
        <v>9</v>
      </c>
      <c r="D2" s="5">
        <v>10</v>
      </c>
      <c r="E2" s="5">
        <v>10</v>
      </c>
      <c r="F2" s="5">
        <f>SUM(Table2[[#This Row],[Consistancy]:[Completeness]])</f>
        <v>29</v>
      </c>
      <c r="G2" s="5">
        <f t="shared" ref="G2:G26" si="0">(F2/30)*100</f>
        <v>96.666666666666671</v>
      </c>
    </row>
    <row r="3" spans="1:7" ht="57.6" x14ac:dyDescent="0.3">
      <c r="A3" s="14"/>
      <c r="B3" s="11" t="s">
        <v>13</v>
      </c>
      <c r="C3" s="5">
        <v>9</v>
      </c>
      <c r="D3" s="5">
        <v>8</v>
      </c>
      <c r="E3" s="5">
        <v>10</v>
      </c>
      <c r="F3" s="12">
        <f>SUBTOTAL(109,F2)</f>
        <v>29</v>
      </c>
      <c r="G3" s="12">
        <f t="shared" si="0"/>
        <v>96.666666666666671</v>
      </c>
    </row>
    <row r="4" spans="1:7" ht="57.6" x14ac:dyDescent="0.3">
      <c r="A4" s="14"/>
      <c r="B4" s="11" t="s">
        <v>14</v>
      </c>
      <c r="C4" s="5">
        <v>9</v>
      </c>
      <c r="D4" s="5">
        <v>9</v>
      </c>
      <c r="E4" s="5">
        <v>10</v>
      </c>
      <c r="F4" s="12">
        <f>SUM(Table2[[#This Row],[Consistancy]:[Completeness]])</f>
        <v>28</v>
      </c>
      <c r="G4" s="12">
        <f t="shared" si="0"/>
        <v>93.333333333333329</v>
      </c>
    </row>
    <row r="5" spans="1:7" ht="46.8" customHeight="1" x14ac:dyDescent="0.3">
      <c r="A5" s="14"/>
      <c r="B5" s="6" t="s">
        <v>15</v>
      </c>
      <c r="C5" s="5">
        <v>8</v>
      </c>
      <c r="D5" s="5">
        <v>9</v>
      </c>
      <c r="E5" s="5">
        <v>9</v>
      </c>
      <c r="F5" s="12">
        <f>9+9+8</f>
        <v>26</v>
      </c>
      <c r="G5" s="12">
        <f t="shared" si="0"/>
        <v>86.666666666666671</v>
      </c>
    </row>
    <row r="6" spans="1:7" ht="19.8" customHeight="1" x14ac:dyDescent="0.3">
      <c r="A6" s="14"/>
      <c r="B6" s="13" t="s">
        <v>16</v>
      </c>
      <c r="C6" s="5">
        <v>8</v>
      </c>
      <c r="D6" s="5">
        <v>10</v>
      </c>
      <c r="E6" s="5">
        <v>9</v>
      </c>
      <c r="F6" s="12">
        <v>27</v>
      </c>
      <c r="G6" s="12">
        <f t="shared" si="0"/>
        <v>90</v>
      </c>
    </row>
    <row r="7" spans="1:7" ht="43.2" x14ac:dyDescent="0.3">
      <c r="A7" s="14" t="s">
        <v>7</v>
      </c>
      <c r="B7" s="9" t="s">
        <v>5</v>
      </c>
      <c r="C7" s="8">
        <v>10</v>
      </c>
      <c r="D7" s="8">
        <v>8</v>
      </c>
      <c r="E7" s="8">
        <v>8</v>
      </c>
      <c r="F7" s="10">
        <f>SUM(Table2[[#This Row],[Consistancy]:[Completeness]])</f>
        <v>26</v>
      </c>
      <c r="G7" s="12">
        <f t="shared" si="0"/>
        <v>86.666666666666671</v>
      </c>
    </row>
    <row r="8" spans="1:7" x14ac:dyDescent="0.3">
      <c r="A8" s="14"/>
      <c r="B8" s="6" t="s">
        <v>17</v>
      </c>
      <c r="C8" s="5">
        <v>9</v>
      </c>
      <c r="D8" s="5">
        <v>9</v>
      </c>
      <c r="E8" s="5">
        <v>10</v>
      </c>
      <c r="F8" s="12">
        <f>SUM(Table2[[#This Row],[Consistancy]:[Completeness]])</f>
        <v>28</v>
      </c>
      <c r="G8" s="12">
        <f t="shared" si="0"/>
        <v>93.333333333333329</v>
      </c>
    </row>
    <row r="9" spans="1:7" x14ac:dyDescent="0.3">
      <c r="A9" s="15"/>
      <c r="B9" s="13" t="s">
        <v>18</v>
      </c>
      <c r="C9" s="5">
        <v>9</v>
      </c>
      <c r="D9" s="5">
        <v>9</v>
      </c>
      <c r="E9" s="5">
        <v>8</v>
      </c>
      <c r="F9" s="12">
        <f>SUM(Table2[[#This Row],[Consistancy]:[Completeness]])</f>
        <v>26</v>
      </c>
      <c r="G9" s="12">
        <f t="shared" si="0"/>
        <v>86.666666666666671</v>
      </c>
    </row>
    <row r="10" spans="1:7" ht="43.2" x14ac:dyDescent="0.3">
      <c r="A10" s="14"/>
      <c r="B10" s="6" t="s">
        <v>19</v>
      </c>
      <c r="C10" s="5">
        <v>8</v>
      </c>
      <c r="D10" s="5">
        <v>8</v>
      </c>
      <c r="E10" s="5">
        <v>7</v>
      </c>
      <c r="F10" s="12">
        <f>SUM(Table2[[#This Row],[Consistancy]:[Completeness]])</f>
        <v>23</v>
      </c>
      <c r="G10" s="12">
        <f t="shared" si="0"/>
        <v>76.666666666666671</v>
      </c>
    </row>
    <row r="11" spans="1:7" ht="43.2" x14ac:dyDescent="0.3">
      <c r="A11" s="14"/>
      <c r="B11" s="17" t="s">
        <v>20</v>
      </c>
      <c r="C11" s="5">
        <v>9</v>
      </c>
      <c r="D11" s="5">
        <v>9</v>
      </c>
      <c r="E11" s="5">
        <v>10</v>
      </c>
      <c r="F11" s="12">
        <f>SUM(Table2[[#This Row],[Consistancy]:[Completeness]])</f>
        <v>28</v>
      </c>
      <c r="G11" s="12">
        <f t="shared" si="0"/>
        <v>93.333333333333329</v>
      </c>
    </row>
    <row r="12" spans="1:7" ht="43.2" x14ac:dyDescent="0.3">
      <c r="A12" s="14" t="s">
        <v>8</v>
      </c>
      <c r="B12" s="9" t="s">
        <v>6</v>
      </c>
      <c r="C12" s="8">
        <v>10</v>
      </c>
      <c r="D12" s="8">
        <v>10</v>
      </c>
      <c r="E12" s="8">
        <v>7</v>
      </c>
      <c r="F12" s="10">
        <f>SUM(Table2[[#This Row],[Consistancy]:[Completeness]])</f>
        <v>27</v>
      </c>
      <c r="G12" s="12">
        <f t="shared" si="0"/>
        <v>90</v>
      </c>
    </row>
    <row r="13" spans="1:7" ht="43.2" x14ac:dyDescent="0.3">
      <c r="A13" s="14"/>
      <c r="B13" s="11" t="s">
        <v>21</v>
      </c>
      <c r="C13" s="5">
        <v>9</v>
      </c>
      <c r="D13" s="5">
        <v>9</v>
      </c>
      <c r="E13" s="5">
        <v>10</v>
      </c>
      <c r="F13" s="12">
        <f>SUM(Table2[[#This Row],[Consistancy]:[Completeness]])</f>
        <v>28</v>
      </c>
      <c r="G13" s="12">
        <f t="shared" si="0"/>
        <v>93.333333333333329</v>
      </c>
    </row>
    <row r="14" spans="1:7" ht="43.2" x14ac:dyDescent="0.3">
      <c r="A14" s="14"/>
      <c r="B14" s="11" t="s">
        <v>22</v>
      </c>
      <c r="C14" s="5">
        <v>9</v>
      </c>
      <c r="D14" s="5">
        <v>8</v>
      </c>
      <c r="E14" s="5">
        <v>10</v>
      </c>
      <c r="F14" s="12">
        <v>27</v>
      </c>
      <c r="G14" s="10">
        <f t="shared" si="0"/>
        <v>90</v>
      </c>
    </row>
    <row r="15" spans="1:7" ht="43.2" x14ac:dyDescent="0.3">
      <c r="A15" s="14"/>
      <c r="B15" s="11" t="s">
        <v>23</v>
      </c>
      <c r="C15" s="5">
        <v>8</v>
      </c>
      <c r="D15" s="5">
        <v>9</v>
      </c>
      <c r="E15" s="5">
        <v>10</v>
      </c>
      <c r="F15" s="12">
        <v>27</v>
      </c>
      <c r="G15" s="10">
        <f t="shared" si="0"/>
        <v>90</v>
      </c>
    </row>
    <row r="16" spans="1:7" x14ac:dyDescent="0.3">
      <c r="A16" s="14"/>
      <c r="B16" s="13" t="s">
        <v>24</v>
      </c>
      <c r="C16" s="5">
        <v>9</v>
      </c>
      <c r="D16" s="5">
        <v>9</v>
      </c>
      <c r="E16" s="5">
        <v>10</v>
      </c>
      <c r="F16" s="12">
        <v>28</v>
      </c>
      <c r="G16" s="10">
        <f t="shared" si="0"/>
        <v>93.333333333333329</v>
      </c>
    </row>
    <row r="17" spans="1:7" ht="43.2" x14ac:dyDescent="0.3">
      <c r="A17" s="14" t="s">
        <v>12</v>
      </c>
      <c r="B17" s="9" t="s">
        <v>9</v>
      </c>
      <c r="C17" s="8">
        <v>8</v>
      </c>
      <c r="D17" s="8">
        <v>9</v>
      </c>
      <c r="E17" s="8">
        <v>9</v>
      </c>
      <c r="F17" s="10">
        <f>SUM(Table2[[#This Row],[Consistancy]:[Completeness]])</f>
        <v>26</v>
      </c>
      <c r="G17" s="10">
        <f t="shared" si="0"/>
        <v>86.666666666666671</v>
      </c>
    </row>
    <row r="18" spans="1:7" ht="43.2" x14ac:dyDescent="0.3">
      <c r="A18" s="14"/>
      <c r="B18" s="11" t="s">
        <v>25</v>
      </c>
      <c r="C18" s="5">
        <v>9</v>
      </c>
      <c r="D18" s="5">
        <v>9</v>
      </c>
      <c r="E18" s="5">
        <v>7</v>
      </c>
      <c r="F18" s="12">
        <f>SUM(Table2[[#This Row],[Consistancy]:[Completeness]])</f>
        <v>25</v>
      </c>
      <c r="G18" s="12">
        <f t="shared" si="0"/>
        <v>83.333333333333343</v>
      </c>
    </row>
    <row r="19" spans="1:7" ht="43.2" x14ac:dyDescent="0.3">
      <c r="A19" s="14"/>
      <c r="B19" s="11" t="s">
        <v>26</v>
      </c>
      <c r="C19" s="5">
        <v>8</v>
      </c>
      <c r="D19" s="5">
        <v>8</v>
      </c>
      <c r="E19" s="5">
        <v>8</v>
      </c>
      <c r="F19" s="12">
        <f>SUM(Table2[[#This Row],[Consistancy]:[Completeness]])</f>
        <v>24</v>
      </c>
      <c r="G19" s="12">
        <f t="shared" si="0"/>
        <v>80</v>
      </c>
    </row>
    <row r="20" spans="1:7" ht="43.2" x14ac:dyDescent="0.3">
      <c r="A20" s="14"/>
      <c r="B20" s="11" t="s">
        <v>27</v>
      </c>
      <c r="C20" s="5">
        <v>9</v>
      </c>
      <c r="D20" s="5">
        <v>9</v>
      </c>
      <c r="E20" s="5">
        <v>10</v>
      </c>
      <c r="F20" s="12">
        <f>SUM(Table2[[#This Row],[Consistancy]:[Completeness]])</f>
        <v>28</v>
      </c>
      <c r="G20" s="12">
        <f t="shared" si="0"/>
        <v>93.333333333333329</v>
      </c>
    </row>
    <row r="21" spans="1:7" ht="43.2" x14ac:dyDescent="0.3">
      <c r="A21" s="14"/>
      <c r="B21" s="11" t="s">
        <v>28</v>
      </c>
      <c r="C21" s="5">
        <v>8</v>
      </c>
      <c r="D21" s="5">
        <v>8</v>
      </c>
      <c r="E21" s="5">
        <v>8</v>
      </c>
      <c r="F21" s="12">
        <f>SUM(Table2[[#This Row],[Consistancy]:[Completeness]])</f>
        <v>24</v>
      </c>
      <c r="G21" s="12">
        <f t="shared" si="0"/>
        <v>80</v>
      </c>
    </row>
    <row r="22" spans="1:7" ht="43.2" x14ac:dyDescent="0.3">
      <c r="A22" s="14" t="s">
        <v>11</v>
      </c>
      <c r="B22" s="9" t="s">
        <v>10</v>
      </c>
      <c r="C22" s="8">
        <v>10</v>
      </c>
      <c r="D22" s="8">
        <v>9</v>
      </c>
      <c r="E22" s="8">
        <v>10</v>
      </c>
      <c r="F22" s="10">
        <f>SUM(Table2[[#This Row],[Consistancy]:[Completeness]])</f>
        <v>29</v>
      </c>
      <c r="G22" s="12">
        <f t="shared" si="0"/>
        <v>96.666666666666671</v>
      </c>
    </row>
    <row r="23" spans="1:7" x14ac:dyDescent="0.3">
      <c r="A23" s="14"/>
      <c r="B23" s="13" t="s">
        <v>32</v>
      </c>
      <c r="C23" s="5">
        <v>10</v>
      </c>
      <c r="D23" s="5">
        <v>10</v>
      </c>
      <c r="E23" s="5">
        <v>10</v>
      </c>
      <c r="F23" s="12">
        <f>SUM(Table2[[#This Row],[Consistancy]:[Completeness]])</f>
        <v>30</v>
      </c>
      <c r="G23" s="12">
        <f t="shared" si="0"/>
        <v>100</v>
      </c>
    </row>
    <row r="24" spans="1:7" x14ac:dyDescent="0.3">
      <c r="A24" s="14"/>
      <c r="B24" s="13" t="s">
        <v>33</v>
      </c>
      <c r="C24" s="5">
        <v>9</v>
      </c>
      <c r="D24" s="5">
        <v>9</v>
      </c>
      <c r="E24" s="5">
        <v>10</v>
      </c>
      <c r="F24" s="12">
        <f>SUM(Table2[[#This Row],[Consistancy]:[Completeness]])</f>
        <v>28</v>
      </c>
      <c r="G24" s="12">
        <f t="shared" si="0"/>
        <v>93.333333333333329</v>
      </c>
    </row>
    <row r="25" spans="1:7" x14ac:dyDescent="0.3">
      <c r="A25" s="14"/>
      <c r="B25" s="13" t="s">
        <v>34</v>
      </c>
      <c r="C25" s="5">
        <v>9</v>
      </c>
      <c r="D25" s="5">
        <v>10</v>
      </c>
      <c r="E25" s="5">
        <v>9</v>
      </c>
      <c r="F25" s="12">
        <f>SUM(Table2[[#This Row],[Consistancy]:[Completeness]])</f>
        <v>28</v>
      </c>
      <c r="G25" s="12">
        <f t="shared" si="0"/>
        <v>93.333333333333329</v>
      </c>
    </row>
    <row r="26" spans="1:7" x14ac:dyDescent="0.3">
      <c r="A26" s="14"/>
      <c r="B26" s="13" t="s">
        <v>35</v>
      </c>
      <c r="C26" s="5">
        <v>8</v>
      </c>
      <c r="D26" s="5">
        <v>8</v>
      </c>
      <c r="E26" s="5">
        <v>9</v>
      </c>
      <c r="F26" s="12">
        <f>SUM(Table2[[#This Row],[Consistancy]:[Completeness]])</f>
        <v>25</v>
      </c>
      <c r="G26" s="12">
        <f t="shared" si="0"/>
        <v>83.333333333333343</v>
      </c>
    </row>
    <row r="1048576" spans="6:6" x14ac:dyDescent="0.3">
      <c r="F1048576">
        <f>SUM(F3)</f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Eshaan Mishra</dc:creator>
  <cp:lastModifiedBy>Eshaan Mishra</cp:lastModifiedBy>
  <dcterms:created xsi:type="dcterms:W3CDTF">2026-05-29T04:02:48Z</dcterms:created>
  <dcterms:modified xsi:type="dcterms:W3CDTF">2026-05-29T19:59:16Z</dcterms:modified>
</cp:coreProperties>
</file>